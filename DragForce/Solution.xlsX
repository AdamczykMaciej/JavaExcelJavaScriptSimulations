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JATK Informatyka\2 rok\PSM\DragForce\"/>
    </mc:Choice>
  </mc:AlternateContent>
  <xr:revisionPtr revIDLastSave="0" documentId="13_ncr:1_{F3BFE2B9-67E3-45A1-8890-5EE9476C6894}" xr6:coauthVersionLast="28" xr6:coauthVersionMax="28" xr10:uidLastSave="{00000000-0000-0000-0000-000000000000}"/>
  <bookViews>
    <workbookView xWindow="0" yWindow="0" windowWidth="24000" windowHeight="9660" activeTab="1" xr2:uid="{8CF7C181-69F6-44E0-9AE2-C1A711D11DC6}"/>
  </bookViews>
  <sheets>
    <sheet name="Arkusz1" sheetId="1" r:id="rId1"/>
    <sheet name="Arkusz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2" l="1"/>
  <c r="P13" i="2"/>
  <c r="H12" i="2" l="1"/>
  <c r="J12" i="2" s="1"/>
  <c r="L12" i="2" s="1"/>
  <c r="I12" i="2"/>
  <c r="K12" i="2" s="1"/>
  <c r="M12" i="2" s="1"/>
  <c r="Q12" i="2" s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H9" i="1"/>
  <c r="J9" i="1" s="1"/>
  <c r="L9" i="1"/>
  <c r="M9" i="1"/>
  <c r="I8" i="1"/>
  <c r="K8" i="1" s="1"/>
  <c r="E9" i="1" s="1"/>
  <c r="M8" i="1"/>
  <c r="G9" i="1" s="1"/>
  <c r="I9" i="1" s="1"/>
  <c r="K9" i="1" s="1"/>
  <c r="L8" i="1"/>
  <c r="F9" i="1" s="1"/>
  <c r="F10" i="1" s="1"/>
  <c r="H10" i="1" s="1"/>
  <c r="J10" i="1" s="1"/>
  <c r="D11" i="1" s="1"/>
  <c r="J8" i="1"/>
  <c r="D9" i="1" s="1"/>
  <c r="D10" i="1" s="1"/>
  <c r="H8" i="1"/>
  <c r="G13" i="2" l="1"/>
  <c r="O12" i="2"/>
  <c r="E13" i="2" s="1"/>
  <c r="N12" i="2"/>
  <c r="E10" i="1"/>
  <c r="G10" i="1"/>
  <c r="I10" i="1" s="1"/>
  <c r="K10" i="1" s="1"/>
  <c r="E11" i="1" s="1"/>
  <c r="G11" i="1"/>
  <c r="F11" i="1"/>
  <c r="I13" i="2" l="1"/>
  <c r="K13" i="2" s="1"/>
  <c r="H11" i="1"/>
  <c r="J11" i="1" s="1"/>
  <c r="D12" i="1" s="1"/>
  <c r="F12" i="1"/>
  <c r="I11" i="1"/>
  <c r="K11" i="1" s="1"/>
  <c r="E12" i="1" s="1"/>
  <c r="G12" i="1"/>
  <c r="M13" i="2" l="1"/>
  <c r="Q13" i="2" s="1"/>
  <c r="G14" i="2" s="1"/>
  <c r="I14" i="2" s="1"/>
  <c r="K14" i="2" s="1"/>
  <c r="O13" i="2"/>
  <c r="E14" i="2" s="1"/>
  <c r="H12" i="1"/>
  <c r="J12" i="1" s="1"/>
  <c r="D13" i="1" s="1"/>
  <c r="F13" i="1"/>
  <c r="I12" i="1"/>
  <c r="K12" i="1" s="1"/>
  <c r="E13" i="1" s="1"/>
  <c r="G13" i="1"/>
  <c r="O14" i="2" l="1"/>
  <c r="E15" i="2" s="1"/>
  <c r="M14" i="2"/>
  <c r="Q14" i="2" s="1"/>
  <c r="G15" i="2" s="1"/>
  <c r="I15" i="2" s="1"/>
  <c r="K15" i="2" s="1"/>
  <c r="H13" i="1"/>
  <c r="J13" i="1" s="1"/>
  <c r="D14" i="1" s="1"/>
  <c r="F14" i="1"/>
  <c r="I13" i="1"/>
  <c r="K13" i="1" s="1"/>
  <c r="E14" i="1" s="1"/>
  <c r="G14" i="1"/>
  <c r="M15" i="2" l="1"/>
  <c r="Q15" i="2" s="1"/>
  <c r="G16" i="2" s="1"/>
  <c r="I16" i="2" s="1"/>
  <c r="K16" i="2" s="1"/>
  <c r="O16" i="2" s="1"/>
  <c r="O15" i="2"/>
  <c r="E16" i="2" s="1"/>
  <c r="H14" i="1"/>
  <c r="J14" i="1" s="1"/>
  <c r="D15" i="1" s="1"/>
  <c r="F15" i="1"/>
  <c r="I14" i="1"/>
  <c r="K14" i="1" s="1"/>
  <c r="E15" i="1" s="1"/>
  <c r="G15" i="1"/>
  <c r="E17" i="2" l="1"/>
  <c r="M16" i="2"/>
  <c r="Q16" i="2" s="1"/>
  <c r="G17" i="2" s="1"/>
  <c r="I17" i="2" s="1"/>
  <c r="K17" i="2" s="1"/>
  <c r="H15" i="1"/>
  <c r="J15" i="1" s="1"/>
  <c r="D16" i="1" s="1"/>
  <c r="F16" i="1"/>
  <c r="I15" i="1"/>
  <c r="K15" i="1" s="1"/>
  <c r="E16" i="1" s="1"/>
  <c r="G16" i="1"/>
  <c r="O17" i="2" l="1"/>
  <c r="E18" i="2" s="1"/>
  <c r="M17" i="2"/>
  <c r="Q17" i="2" s="1"/>
  <c r="G18" i="2" s="1"/>
  <c r="H16" i="1"/>
  <c r="J16" i="1" s="1"/>
  <c r="D17" i="1" s="1"/>
  <c r="F17" i="1"/>
  <c r="I16" i="1"/>
  <c r="K16" i="1" s="1"/>
  <c r="E17" i="1" s="1"/>
  <c r="G17" i="1"/>
  <c r="I18" i="2" l="1"/>
  <c r="K18" i="2" s="1"/>
  <c r="H17" i="1"/>
  <c r="J17" i="1" s="1"/>
  <c r="D18" i="1" s="1"/>
  <c r="F18" i="1"/>
  <c r="I17" i="1"/>
  <c r="K17" i="1" s="1"/>
  <c r="E18" i="1" s="1"/>
  <c r="G18" i="1"/>
  <c r="M18" i="2" l="1"/>
  <c r="Q18" i="2" s="1"/>
  <c r="G19" i="2" s="1"/>
  <c r="O18" i="2"/>
  <c r="E19" i="2" s="1"/>
  <c r="H18" i="1"/>
  <c r="J18" i="1" s="1"/>
  <c r="D19" i="1" s="1"/>
  <c r="F19" i="1"/>
  <c r="I18" i="1"/>
  <c r="K18" i="1" s="1"/>
  <c r="E19" i="1" s="1"/>
  <c r="G19" i="1"/>
  <c r="I19" i="2" l="1"/>
  <c r="K19" i="2" s="1"/>
  <c r="F20" i="1"/>
  <c r="H19" i="1"/>
  <c r="J19" i="1" s="1"/>
  <c r="D20" i="1" s="1"/>
  <c r="I19" i="1"/>
  <c r="K19" i="1" s="1"/>
  <c r="E20" i="1" s="1"/>
  <c r="G20" i="1"/>
  <c r="O19" i="2" l="1"/>
  <c r="E20" i="2" s="1"/>
  <c r="M19" i="2"/>
  <c r="Q19" i="2" s="1"/>
  <c r="G20" i="2" s="1"/>
  <c r="I20" i="1"/>
  <c r="K20" i="1" s="1"/>
  <c r="E21" i="1" s="1"/>
  <c r="G21" i="1"/>
  <c r="H20" i="1"/>
  <c r="J20" i="1" s="1"/>
  <c r="D21" i="1" s="1"/>
  <c r="F21" i="1"/>
  <c r="I20" i="2" l="1"/>
  <c r="K20" i="2" s="1"/>
  <c r="I21" i="1"/>
  <c r="K21" i="1" s="1"/>
  <c r="E22" i="1" s="1"/>
  <c r="G22" i="1"/>
  <c r="H21" i="1"/>
  <c r="J21" i="1" s="1"/>
  <c r="D22" i="1" s="1"/>
  <c r="F22" i="1"/>
  <c r="M20" i="2" l="1"/>
  <c r="Q20" i="2" s="1"/>
  <c r="G21" i="2" s="1"/>
  <c r="O20" i="2"/>
  <c r="E21" i="2" s="1"/>
  <c r="I22" i="1"/>
  <c r="K22" i="1" s="1"/>
  <c r="E23" i="1" s="1"/>
  <c r="G23" i="1"/>
  <c r="H22" i="1"/>
  <c r="J22" i="1" s="1"/>
  <c r="D23" i="1" s="1"/>
  <c r="F23" i="1"/>
  <c r="I21" i="2" l="1"/>
  <c r="K21" i="2" s="1"/>
  <c r="I23" i="1"/>
  <c r="K23" i="1" s="1"/>
  <c r="E24" i="1" s="1"/>
  <c r="G24" i="1"/>
  <c r="H23" i="1"/>
  <c r="J23" i="1" s="1"/>
  <c r="D24" i="1" s="1"/>
  <c r="F24" i="1"/>
  <c r="O21" i="2" l="1"/>
  <c r="E22" i="2" s="1"/>
  <c r="M21" i="2"/>
  <c r="Q21" i="2" s="1"/>
  <c r="G22" i="2" s="1"/>
  <c r="I24" i="1"/>
  <c r="K24" i="1" s="1"/>
  <c r="E25" i="1" s="1"/>
  <c r="G25" i="1"/>
  <c r="H24" i="1"/>
  <c r="J24" i="1" s="1"/>
  <c r="D25" i="1" s="1"/>
  <c r="F25" i="1"/>
  <c r="I22" i="2" l="1"/>
  <c r="K22" i="2" s="1"/>
  <c r="I25" i="1"/>
  <c r="K25" i="1" s="1"/>
  <c r="E26" i="1" s="1"/>
  <c r="G26" i="1"/>
  <c r="H25" i="1"/>
  <c r="J25" i="1" s="1"/>
  <c r="D26" i="1" s="1"/>
  <c r="F26" i="1"/>
  <c r="M22" i="2" l="1"/>
  <c r="Q22" i="2" s="1"/>
  <c r="G23" i="2" s="1"/>
  <c r="O22" i="2"/>
  <c r="E23" i="2" s="1"/>
  <c r="I26" i="1"/>
  <c r="K26" i="1" s="1"/>
  <c r="E27" i="1" s="1"/>
  <c r="G27" i="1"/>
  <c r="H26" i="1"/>
  <c r="J26" i="1" s="1"/>
  <c r="D27" i="1" s="1"/>
  <c r="F27" i="1"/>
  <c r="I23" i="2" l="1"/>
  <c r="K23" i="2" s="1"/>
  <c r="I27" i="1"/>
  <c r="K27" i="1" s="1"/>
  <c r="E28" i="1" s="1"/>
  <c r="G28" i="1"/>
  <c r="I28" i="1" s="1"/>
  <c r="K28" i="1" s="1"/>
  <c r="F28" i="1"/>
  <c r="H28" i="1" s="1"/>
  <c r="J28" i="1" s="1"/>
  <c r="H27" i="1"/>
  <c r="J27" i="1" s="1"/>
  <c r="D28" i="1" s="1"/>
  <c r="O23" i="2" l="1"/>
  <c r="E24" i="2" s="1"/>
  <c r="M23" i="2"/>
  <c r="Q23" i="2" s="1"/>
  <c r="G24" i="2" s="1"/>
  <c r="I24" i="2" l="1"/>
  <c r="K24" i="2" s="1"/>
  <c r="M24" i="2" l="1"/>
  <c r="Q24" i="2" s="1"/>
  <c r="G25" i="2" s="1"/>
  <c r="O24" i="2"/>
  <c r="E25" i="2" s="1"/>
  <c r="I25" i="2" l="1"/>
  <c r="K25" i="2" s="1"/>
  <c r="O25" i="2" l="1"/>
  <c r="E26" i="2" s="1"/>
  <c r="M25" i="2"/>
  <c r="Q25" i="2" s="1"/>
  <c r="G26" i="2" s="1"/>
  <c r="I26" i="2" l="1"/>
  <c r="K26" i="2" s="1"/>
  <c r="M26" i="2" l="1"/>
  <c r="Q26" i="2" s="1"/>
  <c r="G27" i="2" s="1"/>
  <c r="O26" i="2"/>
  <c r="E27" i="2" s="1"/>
  <c r="I27" i="2" l="1"/>
  <c r="K27" i="2" s="1"/>
  <c r="O27" i="2" l="1"/>
  <c r="E28" i="2" s="1"/>
  <c r="M27" i="2"/>
  <c r="Q27" i="2" s="1"/>
  <c r="G28" i="2" s="1"/>
  <c r="I28" i="2" l="1"/>
  <c r="K28" i="2" s="1"/>
  <c r="M28" i="2" l="1"/>
  <c r="Q28" i="2" s="1"/>
  <c r="G29" i="2" s="1"/>
  <c r="O28" i="2"/>
  <c r="E29" i="2" s="1"/>
  <c r="I29" i="2" l="1"/>
  <c r="K29" i="2" s="1"/>
  <c r="O29" i="2" l="1"/>
  <c r="E30" i="2" s="1"/>
  <c r="M29" i="2"/>
  <c r="Q29" i="2" s="1"/>
  <c r="G30" i="2" s="1"/>
  <c r="I30" i="2" l="1"/>
  <c r="K30" i="2" s="1"/>
  <c r="M30" i="2" l="1"/>
  <c r="Q30" i="2" s="1"/>
  <c r="G31" i="2" s="1"/>
  <c r="O30" i="2"/>
  <c r="E31" i="2" s="1"/>
  <c r="I31" i="2" l="1"/>
  <c r="K31" i="2" s="1"/>
  <c r="O31" i="2" l="1"/>
  <c r="E32" i="2" s="1"/>
  <c r="M31" i="2"/>
  <c r="Q31" i="2" s="1"/>
  <c r="G32" i="2" s="1"/>
  <c r="I32" i="2" l="1"/>
  <c r="K32" i="2" s="1"/>
  <c r="M32" i="2" l="1"/>
  <c r="Q32" i="2" s="1"/>
  <c r="O32" i="2"/>
  <c r="P12" i="2"/>
  <c r="F13" i="2" s="1"/>
  <c r="D13" i="2"/>
  <c r="H13" i="2" l="1"/>
  <c r="J13" i="2" s="1"/>
  <c r="L13" i="2" l="1"/>
  <c r="F14" i="2" s="1"/>
  <c r="N13" i="2"/>
  <c r="D14" i="2" s="1"/>
  <c r="H14" i="2" l="1"/>
  <c r="J14" i="2" s="1"/>
  <c r="L14" i="2" l="1"/>
  <c r="P14" i="2" s="1"/>
  <c r="F15" i="2" s="1"/>
  <c r="N14" i="2"/>
  <c r="D15" i="2" s="1"/>
  <c r="H15" i="2" l="1"/>
  <c r="J15" i="2" s="1"/>
  <c r="L15" i="2" l="1"/>
  <c r="P15" i="2" s="1"/>
  <c r="F16" i="2" s="1"/>
  <c r="N15" i="2"/>
  <c r="D16" i="2" s="1"/>
  <c r="H16" i="2" l="1"/>
  <c r="J16" i="2" s="1"/>
  <c r="N16" i="2" l="1"/>
  <c r="D17" i="2" s="1"/>
  <c r="L16" i="2"/>
  <c r="P16" i="2" s="1"/>
  <c r="F17" i="2" s="1"/>
  <c r="H17" i="2" l="1"/>
  <c r="J17" i="2" s="1"/>
  <c r="N17" i="2" l="1"/>
  <c r="D18" i="2" s="1"/>
  <c r="L17" i="2"/>
  <c r="P17" i="2" s="1"/>
  <c r="F18" i="2" s="1"/>
  <c r="H18" i="2" l="1"/>
  <c r="J18" i="2" s="1"/>
  <c r="N18" i="2" l="1"/>
  <c r="D19" i="2" s="1"/>
  <c r="L18" i="2"/>
  <c r="P18" i="2" s="1"/>
  <c r="F19" i="2" s="1"/>
  <c r="H19" i="2" l="1"/>
  <c r="J19" i="2" s="1"/>
  <c r="N19" i="2" l="1"/>
  <c r="D20" i="2" s="1"/>
  <c r="L19" i="2"/>
  <c r="P19" i="2" s="1"/>
  <c r="F20" i="2" s="1"/>
  <c r="H20" i="2" l="1"/>
  <c r="J20" i="2" s="1"/>
  <c r="N20" i="2" l="1"/>
  <c r="D21" i="2" s="1"/>
  <c r="L20" i="2"/>
  <c r="P20" i="2" s="1"/>
  <c r="F21" i="2" s="1"/>
  <c r="H21" i="2" l="1"/>
  <c r="J21" i="2" s="1"/>
  <c r="N21" i="2" l="1"/>
  <c r="D22" i="2" s="1"/>
  <c r="L21" i="2"/>
  <c r="P21" i="2" s="1"/>
  <c r="F22" i="2" s="1"/>
  <c r="H22" i="2" l="1"/>
  <c r="J22" i="2" s="1"/>
  <c r="L22" i="2" l="1"/>
  <c r="P22" i="2" s="1"/>
  <c r="F23" i="2" s="1"/>
  <c r="N22" i="2"/>
  <c r="D23" i="2" s="1"/>
  <c r="H23" i="2" l="1"/>
  <c r="J23" i="2" s="1"/>
  <c r="N23" i="2" l="1"/>
  <c r="D24" i="2" s="1"/>
  <c r="L23" i="2"/>
  <c r="P23" i="2" s="1"/>
  <c r="F24" i="2" s="1"/>
  <c r="H24" i="2" l="1"/>
  <c r="J24" i="2" s="1"/>
  <c r="N24" i="2" l="1"/>
  <c r="D25" i="2" s="1"/>
  <c r="L24" i="2"/>
  <c r="P24" i="2" s="1"/>
  <c r="F25" i="2" s="1"/>
  <c r="H25" i="2" l="1"/>
  <c r="J25" i="2" s="1"/>
  <c r="L25" i="2" l="1"/>
  <c r="P25" i="2" s="1"/>
  <c r="F26" i="2" s="1"/>
  <c r="N25" i="2"/>
  <c r="D26" i="2" s="1"/>
  <c r="H26" i="2" l="1"/>
  <c r="J26" i="2" s="1"/>
  <c r="N26" i="2" l="1"/>
  <c r="D27" i="2" s="1"/>
  <c r="L26" i="2"/>
  <c r="P26" i="2" s="1"/>
  <c r="F27" i="2" s="1"/>
  <c r="H27" i="2" l="1"/>
  <c r="J27" i="2" s="1"/>
  <c r="L27" i="2" l="1"/>
  <c r="P27" i="2" s="1"/>
  <c r="F28" i="2" s="1"/>
  <c r="N27" i="2"/>
  <c r="D28" i="2" s="1"/>
  <c r="H28" i="2" l="1"/>
  <c r="J28" i="2" s="1"/>
  <c r="N28" i="2" l="1"/>
  <c r="D29" i="2" s="1"/>
  <c r="L28" i="2"/>
  <c r="P28" i="2" s="1"/>
  <c r="H29" i="2" l="1"/>
  <c r="J29" i="2" s="1"/>
  <c r="N29" i="2" l="1"/>
  <c r="D30" i="2" s="1"/>
  <c r="L29" i="2"/>
  <c r="P29" i="2" s="1"/>
  <c r="F30" i="2" s="1"/>
  <c r="H30" i="2" l="1"/>
  <c r="J30" i="2" s="1"/>
  <c r="L30" i="2" l="1"/>
  <c r="P30" i="2" s="1"/>
  <c r="F31" i="2" s="1"/>
  <c r="N30" i="2"/>
  <c r="D31" i="2" s="1"/>
  <c r="H31" i="2" l="1"/>
  <c r="J31" i="2" s="1"/>
  <c r="N31" i="2" l="1"/>
  <c r="D32" i="2" s="1"/>
  <c r="L31" i="2"/>
  <c r="P31" i="2" s="1"/>
  <c r="F32" i="2" s="1"/>
  <c r="H32" i="2" l="1"/>
  <c r="J32" i="2" s="1"/>
  <c r="L32" i="2" l="1"/>
  <c r="P32" i="2" s="1"/>
  <c r="N32" i="2"/>
</calcChain>
</file>

<file path=xl/sharedStrings.xml><?xml version="1.0" encoding="utf-8"?>
<sst xmlns="http://schemas.openxmlformats.org/spreadsheetml/2006/main" count="33" uniqueCount="21">
  <si>
    <t>Sx</t>
  </si>
  <si>
    <t>Sy</t>
  </si>
  <si>
    <t>Vx</t>
  </si>
  <si>
    <t>Vy</t>
  </si>
  <si>
    <t>Vx/2</t>
  </si>
  <si>
    <t>Vy/2</t>
  </si>
  <si>
    <t>DSx</t>
  </si>
  <si>
    <t>Dsy</t>
  </si>
  <si>
    <t>DVx</t>
  </si>
  <si>
    <t>Dvy</t>
  </si>
  <si>
    <t>Dt</t>
  </si>
  <si>
    <t>gy</t>
  </si>
  <si>
    <t>gx</t>
  </si>
  <si>
    <t xml:space="preserve"> </t>
  </si>
  <si>
    <t>k</t>
  </si>
  <si>
    <t>Ax</t>
  </si>
  <si>
    <t>Ay</t>
  </si>
  <si>
    <t>Ax/2</t>
  </si>
  <si>
    <t>Ay/2</t>
  </si>
  <si>
    <t>m</t>
  </si>
  <si>
    <t>DVy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</si>
</sst>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68153980752407E-2"/>
          <c:y val="0.17171296296296298"/>
          <c:w val="0.915530183727034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v>A graph+Arkusz1!$E$8:$E$28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Arkusz1!$C$8:$C$28</c:f>
              <c:numCache>
                <c:formatCode>General</c:formatCode>
                <c:ptCount val="2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</c:numCache>
            </c:numRef>
          </c:cat>
          <c:val>
            <c:numRef>
              <c:f>Arkusz1!$E$8:$E$28</c:f>
              <c:numCache>
                <c:formatCode>General</c:formatCode>
                <c:ptCount val="21"/>
                <c:pt idx="0">
                  <c:v>0</c:v>
                </c:pt>
                <c:pt idx="1">
                  <c:v>0.95000000000000007</c:v>
                </c:pt>
                <c:pt idx="2">
                  <c:v>1.8000000000000003</c:v>
                </c:pt>
                <c:pt idx="3">
                  <c:v>2.5500000000000003</c:v>
                </c:pt>
                <c:pt idx="4">
                  <c:v>3.2</c:v>
                </c:pt>
                <c:pt idx="5">
                  <c:v>3.75</c:v>
                </c:pt>
                <c:pt idx="6">
                  <c:v>4.2</c:v>
                </c:pt>
                <c:pt idx="7">
                  <c:v>4.55</c:v>
                </c:pt>
                <c:pt idx="8">
                  <c:v>4.8</c:v>
                </c:pt>
                <c:pt idx="9">
                  <c:v>4.95</c:v>
                </c:pt>
                <c:pt idx="10">
                  <c:v>5</c:v>
                </c:pt>
                <c:pt idx="11">
                  <c:v>4.95</c:v>
                </c:pt>
                <c:pt idx="12">
                  <c:v>4.8</c:v>
                </c:pt>
                <c:pt idx="13">
                  <c:v>4.55</c:v>
                </c:pt>
                <c:pt idx="14">
                  <c:v>4.2</c:v>
                </c:pt>
                <c:pt idx="15">
                  <c:v>3.75</c:v>
                </c:pt>
                <c:pt idx="16">
                  <c:v>3.2</c:v>
                </c:pt>
                <c:pt idx="17">
                  <c:v>2.5500000000000003</c:v>
                </c:pt>
                <c:pt idx="18">
                  <c:v>1.8000000000000003</c:v>
                </c:pt>
                <c:pt idx="19">
                  <c:v>0.95000000000000018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4-4890-954C-60304FE37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512672"/>
        <c:axId val="404509392"/>
      </c:lineChart>
      <c:catAx>
        <c:axId val="40451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509392"/>
        <c:crosses val="autoZero"/>
        <c:auto val="1"/>
        <c:lblAlgn val="ctr"/>
        <c:lblOffset val="100"/>
        <c:noMultiLvlLbl val="0"/>
      </c:catAx>
      <c:valAx>
        <c:axId val="40450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51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122703412073492E-2"/>
          <c:y val="0.17406240886555846"/>
          <c:w val="0.90154396325459318"/>
          <c:h val="0.77736111111111106"/>
        </c:manualLayout>
      </c:layout>
      <c:scatterChart>
        <c:scatterStyle val="smoothMarker"/>
        <c:varyColors val="0"/>
        <c:ser>
          <c:idx val="0"/>
          <c:order val="0"/>
          <c:tx>
            <c:v>graph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Arkusz2!$D$12:$D$32</c:f>
              <c:numCache>
                <c:formatCode>General</c:formatCode>
                <c:ptCount val="21"/>
                <c:pt idx="0">
                  <c:v>0</c:v>
                </c:pt>
                <c:pt idx="1">
                  <c:v>0.97500000000000009</c:v>
                </c:pt>
                <c:pt idx="2">
                  <c:v>1.9024687500000002</c:v>
                </c:pt>
                <c:pt idx="3">
                  <c:v>2.7847233984375004</c:v>
                </c:pt>
                <c:pt idx="4">
                  <c:v>3.6239681327636721</c:v>
                </c:pt>
                <c:pt idx="5">
                  <c:v>4.422299686291443</c:v>
                </c:pt>
                <c:pt idx="6">
                  <c:v>5.1817125765847347</c:v>
                </c:pt>
                <c:pt idx="7">
                  <c:v>5.9041040884762293</c:v>
                </c:pt>
                <c:pt idx="8">
                  <c:v>6.5912790141630131</c:v>
                </c:pt>
                <c:pt idx="9">
                  <c:v>7.2449541622225659</c:v>
                </c:pt>
                <c:pt idx="10">
                  <c:v>7.866762646814216</c:v>
                </c:pt>
                <c:pt idx="11">
                  <c:v>8.4582579677820231</c:v>
                </c:pt>
                <c:pt idx="12">
                  <c:v>9.0209178918526494</c:v>
                </c:pt>
                <c:pt idx="13">
                  <c:v>9.5561481446248333</c:v>
                </c:pt>
                <c:pt idx="14">
                  <c:v>10.065285922574372</c:v>
                </c:pt>
                <c:pt idx="15">
                  <c:v>10.54960323384887</c:v>
                </c:pt>
                <c:pt idx="16">
                  <c:v>11.010310076198738</c:v>
                </c:pt>
                <c:pt idx="17">
                  <c:v>11.44855745998405</c:v>
                </c:pt>
                <c:pt idx="18">
                  <c:v>11.865440283809827</c:v>
                </c:pt>
                <c:pt idx="19">
                  <c:v>12.262000069974098</c:v>
                </c:pt>
                <c:pt idx="20">
                  <c:v>12.639227566562861</c:v>
                </c:pt>
              </c:numCache>
            </c:numRef>
          </c:xVal>
          <c:yVal>
            <c:numRef>
              <c:f>Arkusz2!$E$12:$E$32</c:f>
              <c:numCache>
                <c:formatCode>General</c:formatCode>
                <c:ptCount val="21"/>
                <c:pt idx="0">
                  <c:v>0</c:v>
                </c:pt>
                <c:pt idx="1">
                  <c:v>0.92500000000000004</c:v>
                </c:pt>
                <c:pt idx="2">
                  <c:v>1.70740625</c:v>
                </c:pt>
                <c:pt idx="3">
                  <c:v>2.3541701953124998</c:v>
                </c:pt>
                <c:pt idx="4">
                  <c:v>2.8719043982910155</c:v>
                </c:pt>
                <c:pt idx="5">
                  <c:v>3.2668990588743285</c:v>
                </c:pt>
                <c:pt idx="6">
                  <c:v>3.545137729754205</c:v>
                </c:pt>
                <c:pt idx="7">
                  <c:v>3.7123122654286873</c:v>
                </c:pt>
                <c:pt idx="8">
                  <c:v>3.7738370424890388</c:v>
                </c:pt>
                <c:pt idx="9">
                  <c:v>3.7348624866676978</c:v>
                </c:pt>
                <c:pt idx="10">
                  <c:v>3.6002879404426475</c:v>
                </c:pt>
                <c:pt idx="11">
                  <c:v>3.3747739033460684</c:v>
                </c:pt>
                <c:pt idx="12">
                  <c:v>3.0627536755579472</c:v>
                </c:pt>
                <c:pt idx="13">
                  <c:v>2.6684444338744973</c:v>
                </c:pt>
                <c:pt idx="14">
                  <c:v>2.1958577677231155</c:v>
                </c:pt>
                <c:pt idx="15">
                  <c:v>1.6488097015466132</c:v>
                </c:pt>
                <c:pt idx="16">
                  <c:v>1.0309302285962154</c:v>
                </c:pt>
                <c:pt idx="17">
                  <c:v>0.34567237995214961</c:v>
                </c:pt>
                <c:pt idx="18">
                  <c:v>-0.40367914857051801</c:v>
                </c:pt>
                <c:pt idx="19">
                  <c:v>-1.2139997900777058</c:v>
                </c:pt>
                <c:pt idx="20">
                  <c:v>-2.0823173003114182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29-49F7-B99D-C3CC82ABC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592072"/>
        <c:axId val="667596008"/>
      </c:scatterChart>
      <c:valAx>
        <c:axId val="66759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96008"/>
        <c:crosses val="autoZero"/>
        <c:crossBetween val="midCat"/>
      </c:valAx>
      <c:valAx>
        <c:axId val="66759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92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300037</xdr:colOff>
      <xdr:row>8</xdr:row>
      <xdr:rowOff>76200</xdr:rowOff>
    </xdr:from>
    <xdr:to>
      <xdr:col>20</xdr:col>
      <xdr:colOff>604837</xdr:colOff>
      <xdr:row>22</xdr:row>
      <xdr:rowOff>152400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CA34042-6785-4E6C-82B9-331C07F8B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11</xdr:row>
      <xdr:rowOff>47625</xdr:rowOff>
    </xdr:from>
    <xdr:to>
      <xdr:col>25</xdr:col>
      <xdr:colOff>76200</xdr:colOff>
      <xdr:row>25</xdr:row>
      <xdr:rowOff>123825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7EE5EFB-5BDF-47B7-97F8-195B779F9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CCA3-024B-40C7-97C8-86896C0640C8}">
  <dimension ref="C3:M28"/>
  <sheetViews>
    <sheetView topLeftCell="A2" workbookViewId="0">
      <selection activeCell="D7" sqref="D7:M7"/>
    </sheetView>
  </sheetViews>
  <sheetFormatPr defaultRowHeight="15" x14ac:dyDescent="0.25"/>
  <cols>
    <col min="8" max="8" width="9.85546875" bestFit="1" customWidth="1"/>
  </cols>
  <sheetData>
    <row r="3" spans="3:13" x14ac:dyDescent="0.25">
      <c r="F3" t="s">
        <v>10</v>
      </c>
      <c r="G3">
        <v>0.1</v>
      </c>
    </row>
    <row r="4" spans="3:13" x14ac:dyDescent="0.25">
      <c r="F4" t="s">
        <v>11</v>
      </c>
      <c r="G4">
        <v>-10</v>
      </c>
    </row>
    <row r="5" spans="3:13" x14ac:dyDescent="0.25">
      <c r="F5" t="s">
        <v>12</v>
      </c>
      <c r="G5">
        <v>0</v>
      </c>
    </row>
    <row r="6" spans="3:13" x14ac:dyDescent="0.25">
      <c r="G6" t="s">
        <v>13</v>
      </c>
    </row>
    <row r="7" spans="3:13" x14ac:dyDescent="0.25">
      <c r="D7" t="s">
        <v>0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6</v>
      </c>
      <c r="K7" t="s">
        <v>7</v>
      </c>
      <c r="L7" t="s">
        <v>8</v>
      </c>
      <c r="M7" t="s">
        <v>9</v>
      </c>
    </row>
    <row r="8" spans="3:13" x14ac:dyDescent="0.25">
      <c r="C8">
        <v>0</v>
      </c>
      <c r="D8">
        <v>0</v>
      </c>
      <c r="E8">
        <v>0</v>
      </c>
      <c r="F8">
        <v>10</v>
      </c>
      <c r="G8">
        <v>10</v>
      </c>
      <c r="H8">
        <f>F8+$G$3*$G$5/2</f>
        <v>10</v>
      </c>
      <c r="I8">
        <f>G8+$G$4*$G$3/2</f>
        <v>9.5</v>
      </c>
      <c r="J8">
        <f>E8+H8*$G$3</f>
        <v>1</v>
      </c>
      <c r="K8">
        <f>E8+I8*$G$3</f>
        <v>0.95000000000000007</v>
      </c>
      <c r="L8">
        <f>$G$5*$G$3</f>
        <v>0</v>
      </c>
      <c r="M8">
        <f>$G$4*$G$3</f>
        <v>-1</v>
      </c>
    </row>
    <row r="9" spans="3:13" x14ac:dyDescent="0.25">
      <c r="C9">
        <v>0.1</v>
      </c>
      <c r="D9">
        <f>D8+J8</f>
        <v>1</v>
      </c>
      <c r="E9">
        <f>E8+K8</f>
        <v>0.95000000000000007</v>
      </c>
      <c r="F9">
        <f>F8+L8</f>
        <v>10</v>
      </c>
      <c r="G9">
        <f>G8+M8</f>
        <v>9</v>
      </c>
      <c r="H9">
        <f>F9+$G$3*$G$5/2</f>
        <v>10</v>
      </c>
      <c r="I9">
        <f>G9+$G$4*$G$3/2</f>
        <v>8.5</v>
      </c>
      <c r="J9">
        <f>H9*$G$3</f>
        <v>1</v>
      </c>
      <c r="K9">
        <f>I9*$G$3</f>
        <v>0.85000000000000009</v>
      </c>
      <c r="L9">
        <f>$G$5*$G$3</f>
        <v>0</v>
      </c>
      <c r="M9">
        <f>$G$4*$G$3</f>
        <v>-1</v>
      </c>
    </row>
    <row r="10" spans="3:13" x14ac:dyDescent="0.25">
      <c r="C10">
        <v>0.2</v>
      </c>
      <c r="D10">
        <f t="shared" ref="D10:D28" si="0">D9+J9</f>
        <v>2</v>
      </c>
      <c r="E10">
        <f t="shared" ref="E10:E28" si="1">E9+K9</f>
        <v>1.8000000000000003</v>
      </c>
      <c r="F10">
        <f t="shared" ref="F10:F28" si="2">F9+L9</f>
        <v>10</v>
      </c>
      <c r="G10">
        <f t="shared" ref="G10:G28" si="3">G9+M9</f>
        <v>8</v>
      </c>
      <c r="H10">
        <f t="shared" ref="H10:H28" si="4">F10+$G$3*$G$5/2</f>
        <v>10</v>
      </c>
      <c r="I10">
        <f t="shared" ref="I10:I28" si="5">G10+$G$4*$G$3/2</f>
        <v>7.5</v>
      </c>
      <c r="J10">
        <f t="shared" ref="J10:J28" si="6">H10*$G$3</f>
        <v>1</v>
      </c>
      <c r="K10">
        <f t="shared" ref="K10:K28" si="7">I10*$G$3</f>
        <v>0.75</v>
      </c>
      <c r="L10">
        <f t="shared" ref="L10:L28" si="8">$G$5*$G$3</f>
        <v>0</v>
      </c>
      <c r="M10">
        <f t="shared" ref="M10:M28" si="9">$G$4*$G$3</f>
        <v>-1</v>
      </c>
    </row>
    <row r="11" spans="3:13" x14ac:dyDescent="0.25">
      <c r="C11">
        <v>0.3</v>
      </c>
      <c r="D11">
        <f t="shared" si="0"/>
        <v>3</v>
      </c>
      <c r="E11">
        <f t="shared" si="1"/>
        <v>2.5500000000000003</v>
      </c>
      <c r="F11">
        <f t="shared" si="2"/>
        <v>10</v>
      </c>
      <c r="G11">
        <f t="shared" si="3"/>
        <v>7</v>
      </c>
      <c r="H11">
        <f t="shared" si="4"/>
        <v>10</v>
      </c>
      <c r="I11">
        <f t="shared" si="5"/>
        <v>6.5</v>
      </c>
      <c r="J11">
        <f t="shared" si="6"/>
        <v>1</v>
      </c>
      <c r="K11">
        <f t="shared" si="7"/>
        <v>0.65</v>
      </c>
      <c r="L11">
        <f t="shared" si="8"/>
        <v>0</v>
      </c>
      <c r="M11">
        <f t="shared" si="9"/>
        <v>-1</v>
      </c>
    </row>
    <row r="12" spans="3:13" x14ac:dyDescent="0.25">
      <c r="C12">
        <v>0.4</v>
      </c>
      <c r="D12">
        <f t="shared" si="0"/>
        <v>4</v>
      </c>
      <c r="E12">
        <f t="shared" si="1"/>
        <v>3.2</v>
      </c>
      <c r="F12">
        <f t="shared" si="2"/>
        <v>10</v>
      </c>
      <c r="G12">
        <f t="shared" si="3"/>
        <v>6</v>
      </c>
      <c r="H12">
        <f t="shared" si="4"/>
        <v>10</v>
      </c>
      <c r="I12">
        <f t="shared" si="5"/>
        <v>5.5</v>
      </c>
      <c r="J12">
        <f t="shared" si="6"/>
        <v>1</v>
      </c>
      <c r="K12">
        <f t="shared" si="7"/>
        <v>0.55000000000000004</v>
      </c>
      <c r="L12">
        <f t="shared" si="8"/>
        <v>0</v>
      </c>
      <c r="M12">
        <f t="shared" si="9"/>
        <v>-1</v>
      </c>
    </row>
    <row r="13" spans="3:13" x14ac:dyDescent="0.25">
      <c r="C13">
        <v>0.5</v>
      </c>
      <c r="D13">
        <f t="shared" si="0"/>
        <v>5</v>
      </c>
      <c r="E13">
        <f t="shared" si="1"/>
        <v>3.75</v>
      </c>
      <c r="F13">
        <f t="shared" si="2"/>
        <v>10</v>
      </c>
      <c r="G13">
        <f t="shared" si="3"/>
        <v>5</v>
      </c>
      <c r="H13">
        <f t="shared" si="4"/>
        <v>10</v>
      </c>
      <c r="I13">
        <f t="shared" si="5"/>
        <v>4.5</v>
      </c>
      <c r="J13">
        <f t="shared" si="6"/>
        <v>1</v>
      </c>
      <c r="K13">
        <f t="shared" si="7"/>
        <v>0.45</v>
      </c>
      <c r="L13">
        <f t="shared" si="8"/>
        <v>0</v>
      </c>
      <c r="M13">
        <f t="shared" si="9"/>
        <v>-1</v>
      </c>
    </row>
    <row r="14" spans="3:13" x14ac:dyDescent="0.25">
      <c r="C14">
        <v>0.6</v>
      </c>
      <c r="D14">
        <f t="shared" si="0"/>
        <v>6</v>
      </c>
      <c r="E14">
        <f t="shared" si="1"/>
        <v>4.2</v>
      </c>
      <c r="F14">
        <f t="shared" si="2"/>
        <v>10</v>
      </c>
      <c r="G14">
        <f t="shared" si="3"/>
        <v>4</v>
      </c>
      <c r="H14">
        <f t="shared" si="4"/>
        <v>10</v>
      </c>
      <c r="I14">
        <f t="shared" si="5"/>
        <v>3.5</v>
      </c>
      <c r="J14">
        <f t="shared" si="6"/>
        <v>1</v>
      </c>
      <c r="K14">
        <f t="shared" si="7"/>
        <v>0.35000000000000003</v>
      </c>
      <c r="L14">
        <f t="shared" si="8"/>
        <v>0</v>
      </c>
      <c r="M14">
        <f t="shared" si="9"/>
        <v>-1</v>
      </c>
    </row>
    <row r="15" spans="3:13" x14ac:dyDescent="0.25">
      <c r="C15">
        <v>0.7</v>
      </c>
      <c r="D15">
        <f t="shared" si="0"/>
        <v>7</v>
      </c>
      <c r="E15">
        <f t="shared" si="1"/>
        <v>4.55</v>
      </c>
      <c r="F15">
        <f t="shared" si="2"/>
        <v>10</v>
      </c>
      <c r="G15">
        <f t="shared" si="3"/>
        <v>3</v>
      </c>
      <c r="H15">
        <f t="shared" si="4"/>
        <v>10</v>
      </c>
      <c r="I15">
        <f t="shared" si="5"/>
        <v>2.5</v>
      </c>
      <c r="J15">
        <f t="shared" si="6"/>
        <v>1</v>
      </c>
      <c r="K15">
        <f t="shared" si="7"/>
        <v>0.25</v>
      </c>
      <c r="L15">
        <f t="shared" si="8"/>
        <v>0</v>
      </c>
      <c r="M15">
        <f t="shared" si="9"/>
        <v>-1</v>
      </c>
    </row>
    <row r="16" spans="3:13" x14ac:dyDescent="0.25">
      <c r="C16">
        <v>0.8</v>
      </c>
      <c r="D16">
        <f t="shared" si="0"/>
        <v>8</v>
      </c>
      <c r="E16">
        <f t="shared" si="1"/>
        <v>4.8</v>
      </c>
      <c r="F16">
        <f t="shared" si="2"/>
        <v>10</v>
      </c>
      <c r="G16">
        <f t="shared" si="3"/>
        <v>2</v>
      </c>
      <c r="H16">
        <f t="shared" si="4"/>
        <v>10</v>
      </c>
      <c r="I16">
        <f t="shared" si="5"/>
        <v>1.5</v>
      </c>
      <c r="J16">
        <f t="shared" si="6"/>
        <v>1</v>
      </c>
      <c r="K16">
        <f t="shared" si="7"/>
        <v>0.15000000000000002</v>
      </c>
      <c r="L16">
        <f t="shared" si="8"/>
        <v>0</v>
      </c>
      <c r="M16">
        <f t="shared" si="9"/>
        <v>-1</v>
      </c>
    </row>
    <row r="17" spans="3:13" x14ac:dyDescent="0.25">
      <c r="C17">
        <v>0.9</v>
      </c>
      <c r="D17">
        <f t="shared" si="0"/>
        <v>9</v>
      </c>
      <c r="E17">
        <f t="shared" si="1"/>
        <v>4.95</v>
      </c>
      <c r="F17">
        <f t="shared" si="2"/>
        <v>10</v>
      </c>
      <c r="G17">
        <f t="shared" si="3"/>
        <v>1</v>
      </c>
      <c r="H17">
        <f t="shared" si="4"/>
        <v>10</v>
      </c>
      <c r="I17">
        <f t="shared" si="5"/>
        <v>0.5</v>
      </c>
      <c r="J17">
        <f t="shared" si="6"/>
        <v>1</v>
      </c>
      <c r="K17">
        <f t="shared" si="7"/>
        <v>0.05</v>
      </c>
      <c r="L17">
        <f t="shared" si="8"/>
        <v>0</v>
      </c>
      <c r="M17">
        <f t="shared" si="9"/>
        <v>-1</v>
      </c>
    </row>
    <row r="18" spans="3:13" x14ac:dyDescent="0.25">
      <c r="C18">
        <v>1</v>
      </c>
      <c r="D18">
        <f t="shared" si="0"/>
        <v>10</v>
      </c>
      <c r="E18">
        <f t="shared" si="1"/>
        <v>5</v>
      </c>
      <c r="F18">
        <f t="shared" si="2"/>
        <v>10</v>
      </c>
      <c r="G18">
        <f t="shared" si="3"/>
        <v>0</v>
      </c>
      <c r="H18">
        <f t="shared" si="4"/>
        <v>10</v>
      </c>
      <c r="I18">
        <f t="shared" si="5"/>
        <v>-0.5</v>
      </c>
      <c r="J18">
        <f t="shared" si="6"/>
        <v>1</v>
      </c>
      <c r="K18">
        <f t="shared" si="7"/>
        <v>-0.05</v>
      </c>
      <c r="L18">
        <f t="shared" si="8"/>
        <v>0</v>
      </c>
      <c r="M18">
        <f t="shared" si="9"/>
        <v>-1</v>
      </c>
    </row>
    <row r="19" spans="3:13" x14ac:dyDescent="0.25">
      <c r="C19">
        <v>1.1000000000000001</v>
      </c>
      <c r="D19">
        <f t="shared" si="0"/>
        <v>11</v>
      </c>
      <c r="E19">
        <f t="shared" si="1"/>
        <v>4.95</v>
      </c>
      <c r="F19">
        <f t="shared" si="2"/>
        <v>10</v>
      </c>
      <c r="G19">
        <f t="shared" si="3"/>
        <v>-1</v>
      </c>
      <c r="H19">
        <f t="shared" si="4"/>
        <v>10</v>
      </c>
      <c r="I19">
        <f t="shared" si="5"/>
        <v>-1.5</v>
      </c>
      <c r="J19">
        <f t="shared" si="6"/>
        <v>1</v>
      </c>
      <c r="K19">
        <f t="shared" si="7"/>
        <v>-0.15000000000000002</v>
      </c>
      <c r="L19">
        <f t="shared" si="8"/>
        <v>0</v>
      </c>
      <c r="M19">
        <f t="shared" si="9"/>
        <v>-1</v>
      </c>
    </row>
    <row r="20" spans="3:13" x14ac:dyDescent="0.25">
      <c r="C20">
        <v>1.2</v>
      </c>
      <c r="D20">
        <f t="shared" si="0"/>
        <v>12</v>
      </c>
      <c r="E20">
        <f t="shared" si="1"/>
        <v>4.8</v>
      </c>
      <c r="F20">
        <f t="shared" si="2"/>
        <v>10</v>
      </c>
      <c r="G20">
        <f t="shared" si="3"/>
        <v>-2</v>
      </c>
      <c r="H20">
        <f t="shared" si="4"/>
        <v>10</v>
      </c>
      <c r="I20">
        <f t="shared" si="5"/>
        <v>-2.5</v>
      </c>
      <c r="J20">
        <f t="shared" si="6"/>
        <v>1</v>
      </c>
      <c r="K20">
        <f t="shared" si="7"/>
        <v>-0.25</v>
      </c>
      <c r="L20">
        <f t="shared" si="8"/>
        <v>0</v>
      </c>
      <c r="M20">
        <f t="shared" si="9"/>
        <v>-1</v>
      </c>
    </row>
    <row r="21" spans="3:13" x14ac:dyDescent="0.25">
      <c r="C21">
        <v>1.3</v>
      </c>
      <c r="D21">
        <f t="shared" si="0"/>
        <v>13</v>
      </c>
      <c r="E21">
        <f t="shared" si="1"/>
        <v>4.55</v>
      </c>
      <c r="F21">
        <f t="shared" si="2"/>
        <v>10</v>
      </c>
      <c r="G21">
        <f t="shared" si="3"/>
        <v>-3</v>
      </c>
      <c r="H21">
        <f t="shared" si="4"/>
        <v>10</v>
      </c>
      <c r="I21">
        <f t="shared" si="5"/>
        <v>-3.5</v>
      </c>
      <c r="J21">
        <f t="shared" si="6"/>
        <v>1</v>
      </c>
      <c r="K21">
        <f t="shared" si="7"/>
        <v>-0.35000000000000003</v>
      </c>
      <c r="L21">
        <f t="shared" si="8"/>
        <v>0</v>
      </c>
      <c r="M21">
        <f t="shared" si="9"/>
        <v>-1</v>
      </c>
    </row>
    <row r="22" spans="3:13" x14ac:dyDescent="0.25">
      <c r="C22">
        <v>1.4</v>
      </c>
      <c r="D22">
        <f t="shared" si="0"/>
        <v>14</v>
      </c>
      <c r="E22">
        <f t="shared" si="1"/>
        <v>4.2</v>
      </c>
      <c r="F22">
        <f t="shared" si="2"/>
        <v>10</v>
      </c>
      <c r="G22">
        <f t="shared" si="3"/>
        <v>-4</v>
      </c>
      <c r="H22">
        <f t="shared" si="4"/>
        <v>10</v>
      </c>
      <c r="I22">
        <f t="shared" si="5"/>
        <v>-4.5</v>
      </c>
      <c r="J22">
        <f t="shared" si="6"/>
        <v>1</v>
      </c>
      <c r="K22">
        <f t="shared" si="7"/>
        <v>-0.45</v>
      </c>
      <c r="L22">
        <f t="shared" si="8"/>
        <v>0</v>
      </c>
      <c r="M22">
        <f t="shared" si="9"/>
        <v>-1</v>
      </c>
    </row>
    <row r="23" spans="3:13" x14ac:dyDescent="0.25">
      <c r="C23">
        <v>1.5</v>
      </c>
      <c r="D23">
        <f t="shared" si="0"/>
        <v>15</v>
      </c>
      <c r="E23">
        <f t="shared" si="1"/>
        <v>3.75</v>
      </c>
      <c r="F23">
        <f t="shared" si="2"/>
        <v>10</v>
      </c>
      <c r="G23">
        <f t="shared" si="3"/>
        <v>-5</v>
      </c>
      <c r="H23">
        <f t="shared" si="4"/>
        <v>10</v>
      </c>
      <c r="I23">
        <f t="shared" si="5"/>
        <v>-5.5</v>
      </c>
      <c r="J23">
        <f t="shared" si="6"/>
        <v>1</v>
      </c>
      <c r="K23">
        <f t="shared" si="7"/>
        <v>-0.55000000000000004</v>
      </c>
      <c r="L23">
        <f t="shared" si="8"/>
        <v>0</v>
      </c>
      <c r="M23">
        <f t="shared" si="9"/>
        <v>-1</v>
      </c>
    </row>
    <row r="24" spans="3:13" x14ac:dyDescent="0.25">
      <c r="C24">
        <v>1.6</v>
      </c>
      <c r="D24">
        <f t="shared" si="0"/>
        <v>16</v>
      </c>
      <c r="E24">
        <f t="shared" si="1"/>
        <v>3.2</v>
      </c>
      <c r="F24">
        <f t="shared" si="2"/>
        <v>10</v>
      </c>
      <c r="G24">
        <f t="shared" si="3"/>
        <v>-6</v>
      </c>
      <c r="H24">
        <f t="shared" si="4"/>
        <v>10</v>
      </c>
      <c r="I24">
        <f t="shared" si="5"/>
        <v>-6.5</v>
      </c>
      <c r="J24">
        <f t="shared" si="6"/>
        <v>1</v>
      </c>
      <c r="K24">
        <f t="shared" si="7"/>
        <v>-0.65</v>
      </c>
      <c r="L24">
        <f t="shared" si="8"/>
        <v>0</v>
      </c>
      <c r="M24">
        <f t="shared" si="9"/>
        <v>-1</v>
      </c>
    </row>
    <row r="25" spans="3:13" x14ac:dyDescent="0.25">
      <c r="C25">
        <v>1.7</v>
      </c>
      <c r="D25">
        <f t="shared" si="0"/>
        <v>17</v>
      </c>
      <c r="E25">
        <f t="shared" si="1"/>
        <v>2.5500000000000003</v>
      </c>
      <c r="F25">
        <f t="shared" si="2"/>
        <v>10</v>
      </c>
      <c r="G25">
        <f t="shared" si="3"/>
        <v>-7</v>
      </c>
      <c r="H25">
        <f t="shared" si="4"/>
        <v>10</v>
      </c>
      <c r="I25">
        <f t="shared" si="5"/>
        <v>-7.5</v>
      </c>
      <c r="J25">
        <f t="shared" si="6"/>
        <v>1</v>
      </c>
      <c r="K25">
        <f t="shared" si="7"/>
        <v>-0.75</v>
      </c>
      <c r="L25">
        <f t="shared" si="8"/>
        <v>0</v>
      </c>
      <c r="M25">
        <f t="shared" si="9"/>
        <v>-1</v>
      </c>
    </row>
    <row r="26" spans="3:13" x14ac:dyDescent="0.25">
      <c r="C26">
        <v>1.8</v>
      </c>
      <c r="D26">
        <f t="shared" si="0"/>
        <v>18</v>
      </c>
      <c r="E26">
        <f t="shared" si="1"/>
        <v>1.8000000000000003</v>
      </c>
      <c r="F26">
        <f t="shared" si="2"/>
        <v>10</v>
      </c>
      <c r="G26">
        <f t="shared" si="3"/>
        <v>-8</v>
      </c>
      <c r="H26">
        <f t="shared" si="4"/>
        <v>10</v>
      </c>
      <c r="I26">
        <f t="shared" si="5"/>
        <v>-8.5</v>
      </c>
      <c r="J26">
        <f t="shared" si="6"/>
        <v>1</v>
      </c>
      <c r="K26">
        <f t="shared" si="7"/>
        <v>-0.85000000000000009</v>
      </c>
      <c r="L26">
        <f t="shared" si="8"/>
        <v>0</v>
      </c>
      <c r="M26">
        <f t="shared" si="9"/>
        <v>-1</v>
      </c>
    </row>
    <row r="27" spans="3:13" x14ac:dyDescent="0.25">
      <c r="C27">
        <v>1.9</v>
      </c>
      <c r="D27">
        <f t="shared" si="0"/>
        <v>19</v>
      </c>
      <c r="E27">
        <f t="shared" si="1"/>
        <v>0.95000000000000018</v>
      </c>
      <c r="F27">
        <f t="shared" si="2"/>
        <v>10</v>
      </c>
      <c r="G27">
        <f t="shared" si="3"/>
        <v>-9</v>
      </c>
      <c r="H27">
        <f t="shared" si="4"/>
        <v>10</v>
      </c>
      <c r="I27">
        <f t="shared" si="5"/>
        <v>-9.5</v>
      </c>
      <c r="J27">
        <f t="shared" si="6"/>
        <v>1</v>
      </c>
      <c r="K27">
        <f t="shared" si="7"/>
        <v>-0.95000000000000007</v>
      </c>
      <c r="L27">
        <f t="shared" si="8"/>
        <v>0</v>
      </c>
      <c r="M27">
        <f t="shared" si="9"/>
        <v>-1</v>
      </c>
    </row>
    <row r="28" spans="3:13" x14ac:dyDescent="0.25">
      <c r="C28">
        <v>2</v>
      </c>
      <c r="D28">
        <f t="shared" si="0"/>
        <v>20</v>
      </c>
      <c r="E28">
        <f t="shared" si="1"/>
        <v>0</v>
      </c>
      <c r="F28">
        <f t="shared" si="2"/>
        <v>10</v>
      </c>
      <c r="G28">
        <f t="shared" si="3"/>
        <v>-10</v>
      </c>
      <c r="H28">
        <f t="shared" si="4"/>
        <v>10</v>
      </c>
      <c r="I28">
        <f t="shared" si="5"/>
        <v>-10.5</v>
      </c>
      <c r="J28">
        <f t="shared" si="6"/>
        <v>1</v>
      </c>
      <c r="K28">
        <f t="shared" si="7"/>
        <v>-1.05</v>
      </c>
      <c r="L28">
        <f t="shared" si="8"/>
        <v>0</v>
      </c>
      <c r="M28">
        <f t="shared" si="9"/>
        <v>-1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F3A0-03FA-4736-BEE6-103C34801441}">
  <dimension ref="C4:Q32"/>
  <sheetViews>
    <sheetView tabSelected="1" topLeftCell="C3" zoomScaleNormal="100" workbookViewId="0">
      <selection activeCell="F11" sqref="F11"/>
    </sheetView>
  </sheetViews>
  <sheetFormatPr defaultRowHeight="15" x14ac:dyDescent="0.25"/>
  <sheetData>
    <row r="4" spans="3:17" x14ac:dyDescent="0.25">
      <c r="E4" t="s">
        <v>10</v>
      </c>
      <c r="F4">
        <v>0.1</v>
      </c>
    </row>
    <row r="5" spans="3:17" x14ac:dyDescent="0.25">
      <c r="E5" t="s">
        <v>11</v>
      </c>
      <c r="F5">
        <v>-10</v>
      </c>
    </row>
    <row r="6" spans="3:17" x14ac:dyDescent="0.25">
      <c r="E6" t="s">
        <v>12</v>
      </c>
      <c r="F6">
        <v>0</v>
      </c>
    </row>
    <row r="7" spans="3:17" x14ac:dyDescent="0.25">
      <c r="E7" t="s">
        <v>14</v>
      </c>
      <c r="F7">
        <v>1</v>
      </c>
    </row>
    <row r="8" spans="3:17" x14ac:dyDescent="0.25">
      <c r="E8" t="s">
        <v>19</v>
      </c>
      <c r="F8">
        <v>2</v>
      </c>
    </row>
    <row r="11" spans="3:17" x14ac:dyDescent="0.25">
      <c r="D11" t="s">
        <v>0</v>
      </c>
      <c r="E11" t="s">
        <v>1</v>
      </c>
      <c r="F11" t="s">
        <v>2</v>
      </c>
      <c r="G11" t="s">
        <v>3</v>
      </c>
      <c r="H11" t="s">
        <v>15</v>
      </c>
      <c r="I11" t="s">
        <v>16</v>
      </c>
      <c r="J11" t="s">
        <v>4</v>
      </c>
      <c r="K11" t="s">
        <v>5</v>
      </c>
      <c r="L11" t="s">
        <v>17</v>
      </c>
      <c r="M11" t="s">
        <v>18</v>
      </c>
      <c r="N11" t="s">
        <v>6</v>
      </c>
      <c r="O11" t="s">
        <v>7</v>
      </c>
      <c r="P11" t="s">
        <v>8</v>
      </c>
      <c r="Q11" t="s">
        <v>20</v>
      </c>
    </row>
    <row r="12" spans="3:17" x14ac:dyDescent="0.25">
      <c r="C12">
        <v>0</v>
      </c>
      <c r="D12">
        <v>0</v>
      </c>
      <c r="E12">
        <v>0</v>
      </c>
      <c r="F12">
        <v>10</v>
      </c>
      <c r="G12">
        <v>10</v>
      </c>
      <c r="H12">
        <f>($F$8*$F$6-$F$7*F12)/$F$8</f>
        <v>-5</v>
      </c>
      <c r="I12">
        <f>($F$8*$F$5-$F$7*G12)/$F$8</f>
        <v>-15</v>
      </c>
      <c r="J12">
        <f>F12+H12*$F$4/2</f>
        <v>9.75</v>
      </c>
      <c r="K12">
        <f>G12+I12*$F$4/2</f>
        <v>9.25</v>
      </c>
      <c r="L12">
        <f>($F$8*$F$6-$F$7*J12)/$F$8</f>
        <v>-4.875</v>
      </c>
      <c r="M12">
        <f>($F$8*$F$5-$F$7*K12)/$F$8</f>
        <v>-14.625</v>
      </c>
      <c r="N12">
        <f t="shared" ref="N12:Q13" si="0">J12*$F$4</f>
        <v>0.97500000000000009</v>
      </c>
      <c r="O12">
        <f t="shared" si="0"/>
        <v>0.92500000000000004</v>
      </c>
      <c r="P12">
        <f t="shared" si="0"/>
        <v>-0.48750000000000004</v>
      </c>
      <c r="Q12">
        <f t="shared" si="0"/>
        <v>-1.4625000000000001</v>
      </c>
    </row>
    <row r="13" spans="3:17" x14ac:dyDescent="0.25">
      <c r="C13">
        <v>0.1</v>
      </c>
      <c r="D13">
        <f>D12+N12</f>
        <v>0.97500000000000009</v>
      </c>
      <c r="E13">
        <f>E12+O12</f>
        <v>0.92500000000000004</v>
      </c>
      <c r="F13">
        <f>F12+P12</f>
        <v>9.5124999999999993</v>
      </c>
      <c r="G13">
        <f>G12+Q12</f>
        <v>8.5374999999999996</v>
      </c>
      <c r="H13">
        <f>($F$8*$F$6-$F$7*F13)/$F$8</f>
        <v>-4.7562499999999996</v>
      </c>
      <c r="I13">
        <f>($F$8*$F$5-$F$7*G13)/$F$8</f>
        <v>-14.268750000000001</v>
      </c>
      <c r="J13">
        <f>F13+H13*$F$4/2</f>
        <v>9.2746874999999989</v>
      </c>
      <c r="K13">
        <f>G13+I13*$F$4/2</f>
        <v>7.8240624999999993</v>
      </c>
      <c r="L13">
        <f>($F$8*$F$6-$F$7*J13)/$F$8</f>
        <v>-4.6373437499999994</v>
      </c>
      <c r="M13">
        <f>($F$8*$F$5-$F$7*K13)/$F$8</f>
        <v>-13.91203125</v>
      </c>
      <c r="N13">
        <f t="shared" si="0"/>
        <v>0.92746874999999995</v>
      </c>
      <c r="O13">
        <f t="shared" si="0"/>
        <v>0.78240624999999997</v>
      </c>
      <c r="P13">
        <f>L13*$F$4</f>
        <v>-0.46373437499999998</v>
      </c>
      <c r="Q13">
        <f t="shared" si="0"/>
        <v>-1.3912031250000001</v>
      </c>
    </row>
    <row r="14" spans="3:17" x14ac:dyDescent="0.25">
      <c r="C14">
        <v>0.2</v>
      </c>
      <c r="D14">
        <f t="shared" ref="D14:D32" si="1">D13+N13</f>
        <v>1.9024687500000002</v>
      </c>
      <c r="E14">
        <f t="shared" ref="E14:E32" si="2">E13+O13</f>
        <v>1.70740625</v>
      </c>
      <c r="F14">
        <f t="shared" ref="F14:F32" si="3">F13+P13</f>
        <v>9.0487656249999997</v>
      </c>
      <c r="G14">
        <f t="shared" ref="G14:G32" si="4">G13+Q13</f>
        <v>7.1462968749999991</v>
      </c>
      <c r="H14">
        <f t="shared" ref="H14:H32" si="5">($F$8*$F$6-$F$7*F14)/$F$8</f>
        <v>-4.5243828124999999</v>
      </c>
      <c r="I14">
        <f t="shared" ref="I14:I32" si="6">($F$8*$F$5-$F$7*G14)/$F$8</f>
        <v>-13.573148437499999</v>
      </c>
      <c r="J14">
        <f t="shared" ref="J14:J32" si="7">F14+H14*$F$4/2</f>
        <v>8.8225464843749997</v>
      </c>
      <c r="K14">
        <f t="shared" ref="K14:K32" si="8">G14+I14*$F$4/2</f>
        <v>6.467639453124999</v>
      </c>
      <c r="L14">
        <f t="shared" ref="L14:L32" si="9">($F$8*$F$6-$F$7*J14)/$F$8</f>
        <v>-4.4112732421874998</v>
      </c>
      <c r="M14">
        <f t="shared" ref="M14:M32" si="10">($F$8*$F$5-$F$7*K14)/$F$8</f>
        <v>-13.233819726562499</v>
      </c>
      <c r="N14">
        <f t="shared" ref="N14:N32" si="11">J14*$F$4</f>
        <v>0.88225464843750001</v>
      </c>
      <c r="O14">
        <f t="shared" ref="O14:O32" si="12">K14*$F$4</f>
        <v>0.64676394531249992</v>
      </c>
      <c r="P14">
        <f t="shared" ref="P14:P32" si="13">L14*$F$4</f>
        <v>-0.44112732421875001</v>
      </c>
      <c r="Q14">
        <f t="shared" ref="Q14:Q32" si="14">M14*$F$4</f>
        <v>-1.3233819726562501</v>
      </c>
    </row>
    <row r="15" spans="3:17" x14ac:dyDescent="0.25">
      <c r="C15">
        <v>0.3</v>
      </c>
      <c r="D15">
        <f t="shared" si="1"/>
        <v>2.7847233984375004</v>
      </c>
      <c r="E15">
        <f t="shared" si="2"/>
        <v>2.3541701953124998</v>
      </c>
      <c r="F15">
        <f t="shared" si="3"/>
        <v>8.6076383007812503</v>
      </c>
      <c r="G15">
        <f t="shared" si="4"/>
        <v>5.822914902343749</v>
      </c>
      <c r="H15">
        <f t="shared" si="5"/>
        <v>-4.3038191503906251</v>
      </c>
      <c r="I15">
        <f t="shared" si="6"/>
        <v>-12.911457451171874</v>
      </c>
      <c r="J15">
        <f t="shared" si="7"/>
        <v>8.3924473432617184</v>
      </c>
      <c r="K15">
        <f t="shared" si="8"/>
        <v>5.1773420297851551</v>
      </c>
      <c r="L15">
        <f t="shared" si="9"/>
        <v>-4.1962236716308592</v>
      </c>
      <c r="M15">
        <f t="shared" si="10"/>
        <v>-12.588671014892578</v>
      </c>
      <c r="N15">
        <f t="shared" si="11"/>
        <v>0.83924473432617186</v>
      </c>
      <c r="O15">
        <f t="shared" si="12"/>
        <v>0.51773420297851558</v>
      </c>
      <c r="P15">
        <f t="shared" si="13"/>
        <v>-0.41962236716308593</v>
      </c>
      <c r="Q15">
        <f t="shared" si="14"/>
        <v>-1.2588671014892578</v>
      </c>
    </row>
    <row r="16" spans="3:17" x14ac:dyDescent="0.25">
      <c r="C16">
        <v>0.4</v>
      </c>
      <c r="D16">
        <f t="shared" si="1"/>
        <v>3.6239681327636721</v>
      </c>
      <c r="E16">
        <f t="shared" si="2"/>
        <v>2.8719043982910155</v>
      </c>
      <c r="F16">
        <f t="shared" si="3"/>
        <v>8.1880159336181642</v>
      </c>
      <c r="G16">
        <f t="shared" si="4"/>
        <v>4.5640478008544907</v>
      </c>
      <c r="H16">
        <f t="shared" si="5"/>
        <v>-4.0940079668090821</v>
      </c>
      <c r="I16">
        <f t="shared" si="6"/>
        <v>-12.282023900427244</v>
      </c>
      <c r="J16">
        <f t="shared" si="7"/>
        <v>7.9833155352777103</v>
      </c>
      <c r="K16">
        <f t="shared" si="8"/>
        <v>3.9499466058331283</v>
      </c>
      <c r="L16">
        <f t="shared" si="9"/>
        <v>-3.9916577676388552</v>
      </c>
      <c r="M16">
        <f t="shared" si="10"/>
        <v>-11.974973302916563</v>
      </c>
      <c r="N16">
        <f t="shared" si="11"/>
        <v>0.79833155352777108</v>
      </c>
      <c r="O16">
        <f t="shared" si="12"/>
        <v>0.39499466058331284</v>
      </c>
      <c r="P16">
        <f t="shared" si="13"/>
        <v>-0.39916577676388554</v>
      </c>
      <c r="Q16">
        <f t="shared" si="14"/>
        <v>-1.1974973302916563</v>
      </c>
    </row>
    <row r="17" spans="3:17" x14ac:dyDescent="0.25">
      <c r="C17">
        <v>0.5</v>
      </c>
      <c r="D17">
        <f t="shared" si="1"/>
        <v>4.422299686291443</v>
      </c>
      <c r="E17">
        <f t="shared" si="2"/>
        <v>3.2668990588743285</v>
      </c>
      <c r="F17">
        <f t="shared" si="3"/>
        <v>7.7888501568542789</v>
      </c>
      <c r="G17">
        <f t="shared" si="4"/>
        <v>3.3665504705628342</v>
      </c>
      <c r="H17">
        <f t="shared" si="5"/>
        <v>-3.8944250784271395</v>
      </c>
      <c r="I17">
        <f t="shared" si="6"/>
        <v>-11.683275235281418</v>
      </c>
      <c r="J17">
        <f t="shared" si="7"/>
        <v>7.5941289029329218</v>
      </c>
      <c r="K17">
        <f t="shared" si="8"/>
        <v>2.7823867087987635</v>
      </c>
      <c r="L17">
        <f t="shared" si="9"/>
        <v>-3.7970644514664609</v>
      </c>
      <c r="M17">
        <f t="shared" si="10"/>
        <v>-11.391193354399382</v>
      </c>
      <c r="N17">
        <f t="shared" si="11"/>
        <v>0.75941289029329218</v>
      </c>
      <c r="O17">
        <f t="shared" si="12"/>
        <v>0.27823867087987636</v>
      </c>
      <c r="P17">
        <f t="shared" si="13"/>
        <v>-0.37970644514664609</v>
      </c>
      <c r="Q17">
        <f t="shared" si="14"/>
        <v>-1.1391193354399383</v>
      </c>
    </row>
    <row r="18" spans="3:17" x14ac:dyDescent="0.25">
      <c r="C18">
        <v>0.6</v>
      </c>
      <c r="D18">
        <f t="shared" si="1"/>
        <v>5.1817125765847347</v>
      </c>
      <c r="E18">
        <f t="shared" si="2"/>
        <v>3.545137729754205</v>
      </c>
      <c r="F18">
        <f t="shared" si="3"/>
        <v>7.4091437117076326</v>
      </c>
      <c r="G18">
        <f t="shared" si="4"/>
        <v>2.2274311351228961</v>
      </c>
      <c r="H18">
        <f t="shared" si="5"/>
        <v>-3.7045718558538163</v>
      </c>
      <c r="I18">
        <f t="shared" si="6"/>
        <v>-11.113715567561448</v>
      </c>
      <c r="J18">
        <f t="shared" si="7"/>
        <v>7.2239151189149418</v>
      </c>
      <c r="K18">
        <f t="shared" si="8"/>
        <v>1.6717453567448237</v>
      </c>
      <c r="L18">
        <f t="shared" si="9"/>
        <v>-3.6119575594574709</v>
      </c>
      <c r="M18">
        <f t="shared" si="10"/>
        <v>-10.835872678372413</v>
      </c>
      <c r="N18">
        <f t="shared" si="11"/>
        <v>0.7223915118914942</v>
      </c>
      <c r="O18">
        <f t="shared" si="12"/>
        <v>0.16717453567448237</v>
      </c>
      <c r="P18">
        <f t="shared" si="13"/>
        <v>-0.3611957559457471</v>
      </c>
      <c r="Q18">
        <f t="shared" si="14"/>
        <v>-1.0835872678372414</v>
      </c>
    </row>
    <row r="19" spans="3:17" x14ac:dyDescent="0.25">
      <c r="C19">
        <v>0.7</v>
      </c>
      <c r="D19">
        <f t="shared" si="1"/>
        <v>5.9041040884762293</v>
      </c>
      <c r="E19">
        <f t="shared" si="2"/>
        <v>3.7123122654286873</v>
      </c>
      <c r="F19">
        <f t="shared" si="3"/>
        <v>7.0479479557618854</v>
      </c>
      <c r="G19">
        <f t="shared" si="4"/>
        <v>1.1438438672856548</v>
      </c>
      <c r="H19">
        <f t="shared" si="5"/>
        <v>-3.5239739778809427</v>
      </c>
      <c r="I19">
        <f t="shared" si="6"/>
        <v>-10.571921933642827</v>
      </c>
      <c r="J19">
        <f t="shared" si="7"/>
        <v>6.8717492568678384</v>
      </c>
      <c r="K19">
        <f t="shared" si="8"/>
        <v>0.61524777060351343</v>
      </c>
      <c r="L19">
        <f t="shared" si="9"/>
        <v>-3.4358746284339192</v>
      </c>
      <c r="M19">
        <f t="shared" si="10"/>
        <v>-10.307623885301757</v>
      </c>
      <c r="N19">
        <f t="shared" si="11"/>
        <v>0.68717492568678384</v>
      </c>
      <c r="O19">
        <f t="shared" si="12"/>
        <v>6.1524777060351345E-2</v>
      </c>
      <c r="P19">
        <f t="shared" si="13"/>
        <v>-0.34358746284339192</v>
      </c>
      <c r="Q19">
        <f t="shared" si="14"/>
        <v>-1.0307623885301758</v>
      </c>
    </row>
    <row r="20" spans="3:17" x14ac:dyDescent="0.25">
      <c r="C20">
        <v>0.8</v>
      </c>
      <c r="D20">
        <f t="shared" si="1"/>
        <v>6.5912790141630131</v>
      </c>
      <c r="E20">
        <f t="shared" si="2"/>
        <v>3.7738370424890388</v>
      </c>
      <c r="F20">
        <f t="shared" si="3"/>
        <v>6.704360492918493</v>
      </c>
      <c r="G20">
        <f t="shared" si="4"/>
        <v>0.11308147875547903</v>
      </c>
      <c r="H20">
        <f t="shared" si="5"/>
        <v>-3.3521802464592465</v>
      </c>
      <c r="I20">
        <f t="shared" si="6"/>
        <v>-10.05654073937774</v>
      </c>
      <c r="J20">
        <f t="shared" si="7"/>
        <v>6.5367514805955302</v>
      </c>
      <c r="K20">
        <f t="shared" si="8"/>
        <v>-0.38974555821340795</v>
      </c>
      <c r="L20">
        <f t="shared" si="9"/>
        <v>-3.2683757402977651</v>
      </c>
      <c r="M20">
        <f t="shared" si="10"/>
        <v>-9.8051272208932954</v>
      </c>
      <c r="N20">
        <f t="shared" si="11"/>
        <v>0.65367514805955307</v>
      </c>
      <c r="O20">
        <f t="shared" si="12"/>
        <v>-3.8974555821340795E-2</v>
      </c>
      <c r="P20">
        <f t="shared" si="13"/>
        <v>-0.32683757402977653</v>
      </c>
      <c r="Q20">
        <f t="shared" si="14"/>
        <v>-0.9805127220893296</v>
      </c>
    </row>
    <row r="21" spans="3:17" x14ac:dyDescent="0.25">
      <c r="C21">
        <v>0.9</v>
      </c>
      <c r="D21">
        <f t="shared" si="1"/>
        <v>7.2449541622225659</v>
      </c>
      <c r="E21">
        <f t="shared" si="2"/>
        <v>3.7348624866676978</v>
      </c>
      <c r="F21">
        <f t="shared" si="3"/>
        <v>6.3775229188887161</v>
      </c>
      <c r="G21">
        <f t="shared" si="4"/>
        <v>-0.86743124333385058</v>
      </c>
      <c r="H21">
        <f t="shared" si="5"/>
        <v>-3.1887614594443581</v>
      </c>
      <c r="I21">
        <f t="shared" si="6"/>
        <v>-9.5662843783330747</v>
      </c>
      <c r="J21">
        <f t="shared" si="7"/>
        <v>6.2180848459164979</v>
      </c>
      <c r="K21">
        <f t="shared" si="8"/>
        <v>-1.3457454622505043</v>
      </c>
      <c r="L21">
        <f t="shared" si="9"/>
        <v>-3.109042422958249</v>
      </c>
      <c r="M21">
        <f t="shared" si="10"/>
        <v>-9.3271272688747473</v>
      </c>
      <c r="N21">
        <f t="shared" si="11"/>
        <v>0.62180848459164983</v>
      </c>
      <c r="O21">
        <f t="shared" si="12"/>
        <v>-0.13457454622505044</v>
      </c>
      <c r="P21">
        <f t="shared" si="13"/>
        <v>-0.31090424229582492</v>
      </c>
      <c r="Q21">
        <f t="shared" si="14"/>
        <v>-0.93271272688747475</v>
      </c>
    </row>
    <row r="22" spans="3:17" x14ac:dyDescent="0.25">
      <c r="C22">
        <v>1</v>
      </c>
      <c r="D22">
        <f t="shared" si="1"/>
        <v>7.866762646814216</v>
      </c>
      <c r="E22">
        <f t="shared" si="2"/>
        <v>3.6002879404426475</v>
      </c>
      <c r="F22">
        <f t="shared" si="3"/>
        <v>6.0666186765928911</v>
      </c>
      <c r="G22">
        <f t="shared" si="4"/>
        <v>-1.8001439702213253</v>
      </c>
      <c r="H22">
        <f t="shared" si="5"/>
        <v>-3.0333093382964456</v>
      </c>
      <c r="I22">
        <f t="shared" si="6"/>
        <v>-9.099928014889338</v>
      </c>
      <c r="J22">
        <f t="shared" si="7"/>
        <v>5.9149532096780693</v>
      </c>
      <c r="K22">
        <f t="shared" si="8"/>
        <v>-2.2551403709657922</v>
      </c>
      <c r="L22">
        <f t="shared" si="9"/>
        <v>-2.9574766048390346</v>
      </c>
      <c r="M22">
        <f t="shared" si="10"/>
        <v>-8.8724298145171048</v>
      </c>
      <c r="N22">
        <f t="shared" si="11"/>
        <v>0.59149532096780699</v>
      </c>
      <c r="O22">
        <f t="shared" si="12"/>
        <v>-0.22551403709657925</v>
      </c>
      <c r="P22">
        <f t="shared" si="13"/>
        <v>-0.2957476604839035</v>
      </c>
      <c r="Q22">
        <f t="shared" si="14"/>
        <v>-0.88724298145171054</v>
      </c>
    </row>
    <row r="23" spans="3:17" x14ac:dyDescent="0.25">
      <c r="C23">
        <v>1.1000000000000001</v>
      </c>
      <c r="D23">
        <f t="shared" si="1"/>
        <v>8.4582579677820231</v>
      </c>
      <c r="E23">
        <f t="shared" si="2"/>
        <v>3.3747739033460684</v>
      </c>
      <c r="F23">
        <f t="shared" si="3"/>
        <v>5.7708710161089876</v>
      </c>
      <c r="G23">
        <f t="shared" si="4"/>
        <v>-2.687386951673036</v>
      </c>
      <c r="H23">
        <f t="shared" si="5"/>
        <v>-2.8854355080544938</v>
      </c>
      <c r="I23">
        <f t="shared" si="6"/>
        <v>-8.6563065241634813</v>
      </c>
      <c r="J23">
        <f t="shared" si="7"/>
        <v>5.6265992407062626</v>
      </c>
      <c r="K23">
        <f t="shared" si="8"/>
        <v>-3.12020227788121</v>
      </c>
      <c r="L23">
        <f t="shared" si="9"/>
        <v>-2.8132996203531313</v>
      </c>
      <c r="M23">
        <f t="shared" si="10"/>
        <v>-8.4398988610593957</v>
      </c>
      <c r="N23">
        <f t="shared" si="11"/>
        <v>0.56265992407062626</v>
      </c>
      <c r="O23">
        <f t="shared" si="12"/>
        <v>-0.312020227788121</v>
      </c>
      <c r="P23">
        <f t="shared" si="13"/>
        <v>-0.28132996203531313</v>
      </c>
      <c r="Q23">
        <f t="shared" si="14"/>
        <v>-0.84398988610593961</v>
      </c>
    </row>
    <row r="24" spans="3:17" x14ac:dyDescent="0.25">
      <c r="C24">
        <v>1.2</v>
      </c>
      <c r="D24">
        <f t="shared" si="1"/>
        <v>9.0209178918526494</v>
      </c>
      <c r="E24">
        <f t="shared" si="2"/>
        <v>3.0627536755579472</v>
      </c>
      <c r="F24">
        <f t="shared" si="3"/>
        <v>5.4895410540736744</v>
      </c>
      <c r="G24">
        <f t="shared" si="4"/>
        <v>-3.5313768377789758</v>
      </c>
      <c r="H24">
        <f t="shared" si="5"/>
        <v>-2.7447705270368372</v>
      </c>
      <c r="I24">
        <f t="shared" si="6"/>
        <v>-8.2343115811105125</v>
      </c>
      <c r="J24">
        <f t="shared" si="7"/>
        <v>5.3523025277218323</v>
      </c>
      <c r="K24">
        <f t="shared" si="8"/>
        <v>-3.9430924168345016</v>
      </c>
      <c r="L24">
        <f t="shared" si="9"/>
        <v>-2.6761512638609162</v>
      </c>
      <c r="M24">
        <f t="shared" si="10"/>
        <v>-8.0284537915827485</v>
      </c>
      <c r="N24">
        <f t="shared" si="11"/>
        <v>0.53523025277218328</v>
      </c>
      <c r="O24">
        <f t="shared" si="12"/>
        <v>-0.39430924168345016</v>
      </c>
      <c r="P24">
        <f t="shared" si="13"/>
        <v>-0.26761512638609164</v>
      </c>
      <c r="Q24">
        <f t="shared" si="14"/>
        <v>-0.80284537915827492</v>
      </c>
    </row>
    <row r="25" spans="3:17" x14ac:dyDescent="0.25">
      <c r="C25">
        <v>1.3</v>
      </c>
      <c r="D25">
        <f t="shared" si="1"/>
        <v>9.5561481446248333</v>
      </c>
      <c r="E25">
        <f t="shared" si="2"/>
        <v>2.6684444338744973</v>
      </c>
      <c r="F25">
        <f t="shared" si="3"/>
        <v>5.2219259276875825</v>
      </c>
      <c r="G25">
        <f t="shared" si="4"/>
        <v>-4.3342222169372508</v>
      </c>
      <c r="H25">
        <f t="shared" si="5"/>
        <v>-2.6109629638437912</v>
      </c>
      <c r="I25">
        <f t="shared" si="6"/>
        <v>-7.8328888915313746</v>
      </c>
      <c r="J25">
        <f t="shared" si="7"/>
        <v>5.0913777794953932</v>
      </c>
      <c r="K25">
        <f t="shared" si="8"/>
        <v>-4.7258666615138196</v>
      </c>
      <c r="L25">
        <f t="shared" si="9"/>
        <v>-2.5456888897476966</v>
      </c>
      <c r="M25">
        <f t="shared" si="10"/>
        <v>-7.6370666692430902</v>
      </c>
      <c r="N25">
        <f t="shared" si="11"/>
        <v>0.50913777794953929</v>
      </c>
      <c r="O25">
        <f t="shared" si="12"/>
        <v>-0.47258666615138201</v>
      </c>
      <c r="P25">
        <f t="shared" si="13"/>
        <v>-0.25456888897476965</v>
      </c>
      <c r="Q25">
        <f t="shared" si="14"/>
        <v>-0.76370666692430911</v>
      </c>
    </row>
    <row r="26" spans="3:17" x14ac:dyDescent="0.25">
      <c r="C26">
        <v>1.4</v>
      </c>
      <c r="D26">
        <f t="shared" si="1"/>
        <v>10.065285922574372</v>
      </c>
      <c r="E26">
        <f t="shared" si="2"/>
        <v>2.1958577677231155</v>
      </c>
      <c r="F26">
        <f t="shared" si="3"/>
        <v>4.9673570387128132</v>
      </c>
      <c r="G26">
        <f t="shared" si="4"/>
        <v>-5.0979288838615595</v>
      </c>
      <c r="H26">
        <f t="shared" si="5"/>
        <v>-2.4836785193564066</v>
      </c>
      <c r="I26">
        <f t="shared" si="6"/>
        <v>-7.4510355580692202</v>
      </c>
      <c r="J26">
        <f t="shared" si="7"/>
        <v>4.8431731127449931</v>
      </c>
      <c r="K26">
        <f t="shared" si="8"/>
        <v>-5.4704806617650208</v>
      </c>
      <c r="L26">
        <f t="shared" si="9"/>
        <v>-2.4215865563724965</v>
      </c>
      <c r="M26">
        <f t="shared" si="10"/>
        <v>-7.26475966911749</v>
      </c>
      <c r="N26">
        <f t="shared" si="11"/>
        <v>0.48431731127449934</v>
      </c>
      <c r="O26">
        <f t="shared" si="12"/>
        <v>-0.54704806617650215</v>
      </c>
      <c r="P26">
        <f t="shared" si="13"/>
        <v>-0.24215865563724967</v>
      </c>
      <c r="Q26">
        <f t="shared" si="14"/>
        <v>-0.72647596691174909</v>
      </c>
    </row>
    <row r="27" spans="3:17" x14ac:dyDescent="0.25">
      <c r="C27">
        <v>1.5</v>
      </c>
      <c r="D27">
        <f t="shared" si="1"/>
        <v>10.54960323384887</v>
      </c>
      <c r="E27">
        <f t="shared" si="2"/>
        <v>1.6488097015466132</v>
      </c>
      <c r="F27">
        <f t="shared" si="3"/>
        <v>4.7251983830755639</v>
      </c>
      <c r="G27">
        <f t="shared" si="4"/>
        <v>-5.8244048507733091</v>
      </c>
      <c r="H27">
        <f t="shared" si="5"/>
        <v>-2.362599191537782</v>
      </c>
      <c r="I27">
        <f t="shared" si="6"/>
        <v>-7.0877975746133455</v>
      </c>
      <c r="J27">
        <f t="shared" si="7"/>
        <v>4.6070684234986752</v>
      </c>
      <c r="K27">
        <f t="shared" si="8"/>
        <v>-6.1787947295039762</v>
      </c>
      <c r="L27">
        <f t="shared" si="9"/>
        <v>-2.3035342117493376</v>
      </c>
      <c r="M27">
        <f t="shared" si="10"/>
        <v>-6.9106026352480114</v>
      </c>
      <c r="N27">
        <f t="shared" si="11"/>
        <v>0.46070684234986753</v>
      </c>
      <c r="O27">
        <f t="shared" si="12"/>
        <v>-0.61787947295039769</v>
      </c>
      <c r="P27">
        <f t="shared" si="13"/>
        <v>-0.23035342117493376</v>
      </c>
      <c r="Q27">
        <f t="shared" si="14"/>
        <v>-0.69106026352480121</v>
      </c>
    </row>
    <row r="28" spans="3:17" x14ac:dyDescent="0.25">
      <c r="C28">
        <v>1.6</v>
      </c>
      <c r="D28">
        <f t="shared" si="1"/>
        <v>11.010310076198738</v>
      </c>
      <c r="E28">
        <f t="shared" si="2"/>
        <v>1.0309302285962154</v>
      </c>
      <c r="F28">
        <f t="shared" si="3"/>
        <v>4.4948449619006299</v>
      </c>
      <c r="G28">
        <f t="shared" si="4"/>
        <v>-6.5154651142981104</v>
      </c>
      <c r="H28">
        <f t="shared" si="5"/>
        <v>-2.2474224809503149</v>
      </c>
      <c r="I28">
        <f t="shared" si="6"/>
        <v>-6.7422674428509453</v>
      </c>
      <c r="J28">
        <f t="shared" si="7"/>
        <v>4.3824738378531141</v>
      </c>
      <c r="K28">
        <f t="shared" si="8"/>
        <v>-6.8525784864406578</v>
      </c>
      <c r="L28">
        <f t="shared" si="9"/>
        <v>-2.191236918926557</v>
      </c>
      <c r="M28">
        <f t="shared" si="10"/>
        <v>-6.5737107567796711</v>
      </c>
      <c r="N28">
        <f t="shared" si="11"/>
        <v>0.43824738378531142</v>
      </c>
      <c r="O28">
        <f t="shared" si="12"/>
        <v>-0.6852578486440658</v>
      </c>
      <c r="P28">
        <f t="shared" si="13"/>
        <v>-0.21912369189265571</v>
      </c>
      <c r="Q28">
        <f t="shared" si="14"/>
        <v>-0.65737107567796715</v>
      </c>
    </row>
    <row r="29" spans="3:17" x14ac:dyDescent="0.25">
      <c r="C29">
        <v>1.7</v>
      </c>
      <c r="D29">
        <f t="shared" si="1"/>
        <v>11.44855745998405</v>
      </c>
      <c r="E29">
        <f t="shared" si="2"/>
        <v>0.34567237995214961</v>
      </c>
      <c r="F29">
        <f>F28+P28</f>
        <v>4.2757212700079741</v>
      </c>
      <c r="G29">
        <f t="shared" si="4"/>
        <v>-7.1728361899760777</v>
      </c>
      <c r="H29">
        <f t="shared" si="5"/>
        <v>-2.137860635003987</v>
      </c>
      <c r="I29">
        <f t="shared" si="6"/>
        <v>-6.4135819050119611</v>
      </c>
      <c r="J29">
        <f t="shared" si="7"/>
        <v>4.1688282382577748</v>
      </c>
      <c r="K29">
        <f t="shared" si="8"/>
        <v>-7.4935152852266755</v>
      </c>
      <c r="L29">
        <f t="shared" si="9"/>
        <v>-2.0844141191288874</v>
      </c>
      <c r="M29">
        <f t="shared" si="10"/>
        <v>-6.2532423573866627</v>
      </c>
      <c r="N29">
        <f t="shared" si="11"/>
        <v>0.41688282382577752</v>
      </c>
      <c r="O29">
        <f t="shared" si="12"/>
        <v>-0.74935152852266762</v>
      </c>
      <c r="P29">
        <f t="shared" si="13"/>
        <v>-0.20844141191288876</v>
      </c>
      <c r="Q29">
        <f t="shared" si="14"/>
        <v>-0.62532423573866636</v>
      </c>
    </row>
    <row r="30" spans="3:17" x14ac:dyDescent="0.25">
      <c r="C30">
        <v>1.8</v>
      </c>
      <c r="D30">
        <f t="shared" si="1"/>
        <v>11.865440283809827</v>
      </c>
      <c r="E30">
        <f t="shared" si="2"/>
        <v>-0.40367914857051801</v>
      </c>
      <c r="F30">
        <f t="shared" si="3"/>
        <v>4.0672798580950857</v>
      </c>
      <c r="G30">
        <f t="shared" si="4"/>
        <v>-7.7981604257147445</v>
      </c>
      <c r="H30">
        <f t="shared" si="5"/>
        <v>-2.0336399290475429</v>
      </c>
      <c r="I30">
        <f t="shared" si="6"/>
        <v>-6.1009197871426277</v>
      </c>
      <c r="J30">
        <f t="shared" si="7"/>
        <v>3.9655978616427086</v>
      </c>
      <c r="K30">
        <f t="shared" si="8"/>
        <v>-8.1032064150718757</v>
      </c>
      <c r="L30">
        <f t="shared" si="9"/>
        <v>-1.9827989308213543</v>
      </c>
      <c r="M30">
        <f t="shared" si="10"/>
        <v>-5.9483967924640622</v>
      </c>
      <c r="N30">
        <f t="shared" si="11"/>
        <v>0.3965597861642709</v>
      </c>
      <c r="O30">
        <f t="shared" si="12"/>
        <v>-0.81032064150718763</v>
      </c>
      <c r="P30">
        <f t="shared" si="13"/>
        <v>-0.19827989308213545</v>
      </c>
      <c r="Q30">
        <f t="shared" si="14"/>
        <v>-0.59483967924640624</v>
      </c>
    </row>
    <row r="31" spans="3:17" x14ac:dyDescent="0.25">
      <c r="C31">
        <v>1.9</v>
      </c>
      <c r="D31">
        <f t="shared" si="1"/>
        <v>12.262000069974098</v>
      </c>
      <c r="E31">
        <f t="shared" si="2"/>
        <v>-1.2139997900777058</v>
      </c>
      <c r="F31">
        <f t="shared" si="3"/>
        <v>3.8689999650129501</v>
      </c>
      <c r="G31">
        <f t="shared" si="4"/>
        <v>-8.3930001049611516</v>
      </c>
      <c r="H31">
        <f t="shared" si="5"/>
        <v>-1.934499982506475</v>
      </c>
      <c r="I31">
        <f t="shared" si="6"/>
        <v>-5.8034999475194242</v>
      </c>
      <c r="J31">
        <f t="shared" si="7"/>
        <v>3.7722749658876262</v>
      </c>
      <c r="K31">
        <f t="shared" si="8"/>
        <v>-8.6831751023371222</v>
      </c>
      <c r="L31">
        <f t="shared" si="9"/>
        <v>-1.8861374829438131</v>
      </c>
      <c r="M31">
        <f t="shared" si="10"/>
        <v>-5.6584124488314389</v>
      </c>
      <c r="N31">
        <f t="shared" si="11"/>
        <v>0.37722749658876265</v>
      </c>
      <c r="O31">
        <f t="shared" si="12"/>
        <v>-0.86831751023371229</v>
      </c>
      <c r="P31">
        <f t="shared" si="13"/>
        <v>-0.18861374829438132</v>
      </c>
      <c r="Q31">
        <f t="shared" si="14"/>
        <v>-0.56584124488314391</v>
      </c>
    </row>
    <row r="32" spans="3:17" x14ac:dyDescent="0.25">
      <c r="C32">
        <v>2</v>
      </c>
      <c r="D32">
        <f t="shared" si="1"/>
        <v>12.639227566562861</v>
      </c>
      <c r="E32">
        <f t="shared" si="2"/>
        <v>-2.0823173003114182</v>
      </c>
      <c r="F32">
        <f t="shared" si="3"/>
        <v>3.6803862167185688</v>
      </c>
      <c r="G32">
        <f t="shared" si="4"/>
        <v>-8.9588413498442954</v>
      </c>
      <c r="H32">
        <f t="shared" si="5"/>
        <v>-1.8401931083592844</v>
      </c>
      <c r="I32">
        <f t="shared" si="6"/>
        <v>-5.5205793250778523</v>
      </c>
      <c r="J32">
        <f t="shared" si="7"/>
        <v>3.5883765613006045</v>
      </c>
      <c r="K32">
        <f t="shared" si="8"/>
        <v>-9.2348703160981884</v>
      </c>
      <c r="L32">
        <f t="shared" si="9"/>
        <v>-1.7941882806503022</v>
      </c>
      <c r="M32">
        <f t="shared" si="10"/>
        <v>-5.3825648419509058</v>
      </c>
      <c r="N32">
        <f t="shared" si="11"/>
        <v>0.35883765613006047</v>
      </c>
      <c r="O32">
        <f t="shared" si="12"/>
        <v>-0.92348703160981893</v>
      </c>
      <c r="P32">
        <f t="shared" si="13"/>
        <v>-0.17941882806503023</v>
      </c>
      <c r="Q32">
        <f t="shared" si="14"/>
        <v>-0.53825648419509065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</dc:creator>
  <cp:lastModifiedBy>Maciej</cp:lastModifiedBy>
  <dcterms:created xsi:type="dcterms:W3CDTF">2018-03-16T18:10:34Z</dcterms:created>
  <dcterms:modified xsi:type="dcterms:W3CDTF">2018-03-23T09:18:55Z</dcterms:modified>
</cp:coreProperties>
</file>